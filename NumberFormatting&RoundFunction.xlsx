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97273cc5fabe7/Desktop/ExcelisFun/Git Post/"/>
    </mc:Choice>
  </mc:AlternateContent>
  <xr:revisionPtr revIDLastSave="0" documentId="8_{0F0D37E6-1CB8-4808-90B9-34278D0F51D6}" xr6:coauthVersionLast="47" xr6:coauthVersionMax="47" xr10:uidLastSave="{00000000-0000-0000-0000-000000000000}"/>
  <bookViews>
    <workbookView xWindow="-110" yWindow="-110" windowWidth="19420" windowHeight="10300" activeTab="1" xr2:uid="{F22AE84B-F3B7-4845-95CB-89BF0DFEC0AD}"/>
  </bookViews>
  <sheets>
    <sheet name="ROUND(2)" sheetId="2" r:id="rId1"/>
    <sheet name="HW(1)" sheetId="3" r:id="rId2"/>
  </sheets>
  <definedNames>
    <definedName name="_xlnm._FilterDatabase" localSheetId="0" hidden="1">'ROUND(2)'!$H$22:$K$361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9" i="2"/>
  <c r="C12" i="2" s="1"/>
  <c r="D9" i="2"/>
  <c r="D12" i="2" s="1"/>
  <c r="C10" i="2"/>
  <c r="D10" i="2"/>
  <c r="C11" i="2"/>
  <c r="D11" i="2"/>
  <c r="F12" i="2"/>
  <c r="D20" i="2"/>
  <c r="H20" i="2"/>
  <c r="D21" i="2"/>
  <c r="H21" i="2"/>
  <c r="D22" i="2"/>
  <c r="H22" i="2"/>
  <c r="D23" i="2"/>
  <c r="D24" i="2" s="1"/>
  <c r="B33" i="2"/>
  <c r="B34" i="2"/>
  <c r="B35" i="2"/>
  <c r="B36" i="2"/>
  <c r="H23" i="2" l="1"/>
  <c r="D25" i="2"/>
</calcChain>
</file>

<file path=xl/sharedStrings.xml><?xml version="1.0" encoding="utf-8"?>
<sst xmlns="http://schemas.openxmlformats.org/spreadsheetml/2006/main" count="61" uniqueCount="48">
  <si>
    <t>Tax Rate</t>
  </si>
  <si>
    <t>Tax
rounded to dollar</t>
  </si>
  <si>
    <t>Taxable Amount</t>
  </si>
  <si>
    <t>Income Tax:</t>
  </si>
  <si>
    <t>**Sometimes for INCOME TAXES you have to round to the dollar.</t>
  </si>
  <si>
    <t>**Payroll Taxes and Invoices often times have to round to the penny.</t>
  </si>
  <si>
    <t>Thanks for your Order!</t>
  </si>
  <si>
    <t>Total</t>
  </si>
  <si>
    <t>Tax</t>
  </si>
  <si>
    <t>Subtotal</t>
  </si>
  <si>
    <t>6" lock pads</t>
  </si>
  <si>
    <t>2'' screws</t>
  </si>
  <si>
    <t>1'' screws</t>
  </si>
  <si>
    <t>Units</t>
  </si>
  <si>
    <t>Price</t>
  </si>
  <si>
    <t>Item</t>
  </si>
  <si>
    <t>Invoice Number</t>
  </si>
  <si>
    <t>Invoicing:</t>
  </si>
  <si>
    <t>Sadie  Hudson</t>
  </si>
  <si>
    <t>Jasmine  Phelps</t>
  </si>
  <si>
    <t>Lillian  Holt</t>
  </si>
  <si>
    <t>Type What you see:</t>
  </si>
  <si>
    <t>Tax Deduction</t>
  </si>
  <si>
    <t>Gross Pay</t>
  </si>
  <si>
    <t>Employee</t>
  </si>
  <si>
    <t>ROUND</t>
  </si>
  <si>
    <t>No ROUND</t>
  </si>
  <si>
    <t>Payroll:</t>
  </si>
  <si>
    <t>Income Taxes</t>
  </si>
  <si>
    <t>Round to thousands (thousands position) use -3</t>
  </si>
  <si>
    <t>Invoices</t>
  </si>
  <si>
    <t>Round to dollar (ones position) use 0</t>
  </si>
  <si>
    <t>Payroll</t>
  </si>
  <si>
    <t>Round to penny (hundredths position) use 2</t>
  </si>
  <si>
    <t>Examples where you often have to round your numbers:</t>
  </si>
  <si>
    <t>Rules for ROUND:</t>
  </si>
  <si>
    <t>ShelaDawn</t>
  </si>
  <si>
    <t>Sioux</t>
  </si>
  <si>
    <t>Ann</t>
  </si>
  <si>
    <t>Phil</t>
  </si>
  <si>
    <t>Osborn</t>
  </si>
  <si>
    <t>Danny</t>
  </si>
  <si>
    <t>Chin</t>
  </si>
  <si>
    <t>Lindee</t>
  </si>
  <si>
    <t>Abdi</t>
  </si>
  <si>
    <t>Mo</t>
  </si>
  <si>
    <t>Billy</t>
  </si>
  <si>
    <t>Calculate the Tax Deduction for each employee and then add to get the Total Tax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</si>
</sst>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&quot;$&quot;#,##0.00"/>
    <numFmt numFmtId="167" formatCode="[$$-409]#,##0.00"/>
    <numFmt numFmtId="168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165" fontId="0" fillId="2" borderId="1" xfId="1" applyNumberFormat="1" applyFont="1" applyFill="1" applyBorder="1"/>
    <xf numFmtId="165" fontId="0" fillId="0" borderId="1" xfId="0" applyNumberFormat="1" applyBorder="1"/>
    <xf numFmtId="0" fontId="0" fillId="0" borderId="1" xfId="0" applyBorder="1"/>
    <xf numFmtId="0" fontId="4" fillId="3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3" fillId="0" borderId="1" xfId="0" applyFont="1" applyBorder="1" applyAlignment="1">
      <alignment horizontal="centerContinuous"/>
    </xf>
    <xf numFmtId="166" fontId="0" fillId="0" borderId="1" xfId="0" applyNumberFormat="1" applyBorder="1"/>
    <xf numFmtId="0" fontId="2" fillId="5" borderId="1" xfId="0" applyFont="1" applyFill="1" applyBorder="1"/>
    <xf numFmtId="0" fontId="0" fillId="0" borderId="2" xfId="0" applyBorder="1"/>
    <xf numFmtId="0" fontId="0" fillId="0" borderId="3" xfId="0" applyBorder="1"/>
    <xf numFmtId="10" fontId="0" fillId="0" borderId="1" xfId="0" applyNumberFormat="1" applyBorder="1"/>
    <xf numFmtId="166" fontId="0" fillId="2" borderId="1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/>
    <xf numFmtId="0" fontId="0" fillId="2" borderId="11" xfId="1" applyNumberFormat="1" applyFont="1" applyFill="1" applyBorder="1"/>
    <xf numFmtId="166" fontId="0" fillId="2" borderId="11" xfId="1" applyNumberFormat="1" applyFont="1" applyFill="1" applyBorder="1"/>
    <xf numFmtId="0" fontId="0" fillId="0" borderId="1" xfId="1" applyNumberFormat="1" applyFont="1" applyFill="1" applyBorder="1"/>
    <xf numFmtId="166" fontId="0" fillId="2" borderId="1" xfId="1" applyNumberFormat="1" applyFont="1" applyFill="1" applyBorder="1"/>
    <xf numFmtId="0" fontId="4" fillId="4" borderId="12" xfId="0" applyFont="1" applyFill="1" applyBorder="1"/>
    <xf numFmtId="0" fontId="0" fillId="6" borderId="1" xfId="0" applyFill="1" applyBorder="1" applyAlignment="1">
      <alignment horizontal="left" indent="1"/>
    </xf>
    <xf numFmtId="0" fontId="0" fillId="6" borderId="1" xfId="0" applyFill="1" applyBorder="1"/>
    <xf numFmtId="0" fontId="0" fillId="7" borderId="0" xfId="0" applyFill="1"/>
    <xf numFmtId="0" fontId="0" fillId="7" borderId="0" xfId="0" applyFill="1" applyAlignment="1">
      <alignment horizontal="left" indent="1"/>
    </xf>
    <xf numFmtId="0" fontId="5" fillId="7" borderId="0" xfId="0" applyFont="1" applyFill="1" applyAlignment="1">
      <alignment horizontal="left"/>
    </xf>
    <xf numFmtId="0" fontId="5" fillId="7" borderId="0" xfId="0" applyFont="1" applyFill="1"/>
    <xf numFmtId="167" fontId="0" fillId="8" borderId="1" xfId="0" applyNumberFormat="1" applyFill="1" applyBorder="1"/>
    <xf numFmtId="167" fontId="0" fillId="2" borderId="1" xfId="0" applyNumberFormat="1" applyFill="1" applyBorder="1"/>
    <xf numFmtId="168" fontId="0" fillId="0" borderId="1" xfId="0" applyNumberFormat="1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</cellXfs>
  <cellStyles count="2">
    <cellStyle name="Currency 2" xfId="1" xr:uid="{DC0A2B6A-7B05-4714-BDA0-604D3ACBB42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5DDD-BBF1-49A2-96AA-5940222F5A81}">
  <sheetPr>
    <tabColor rgb="FF0000FF"/>
  </sheetPr>
  <dimension ref="A1:H36"/>
  <sheetViews>
    <sheetView zoomScale="94" zoomScaleNormal="94" workbookViewId="0">
      <selection activeCell="O8" sqref="O8"/>
    </sheetView>
  </sheetViews>
  <sheetFormatPr defaultRowHeight="14.5" x14ac:dyDescent="0.35"/>
  <cols>
    <col min="1" max="2" width="17.26953125" customWidth="1"/>
    <col min="3" max="3" width="18.81640625" customWidth="1"/>
    <col min="4" max="4" width="17.26953125" customWidth="1"/>
    <col min="5" max="5" width="7.26953125" customWidth="1"/>
    <col min="6" max="6" width="19.81640625" customWidth="1"/>
    <col min="8" max="8" width="11.81640625" customWidth="1"/>
  </cols>
  <sheetData>
    <row r="1" spans="1:8" x14ac:dyDescent="0.35">
      <c r="A1" s="32" t="s">
        <v>35</v>
      </c>
      <c r="B1" s="29"/>
      <c r="C1" s="29"/>
      <c r="D1" s="31" t="s">
        <v>34</v>
      </c>
      <c r="E1" s="29"/>
      <c r="F1" s="29"/>
      <c r="G1" s="29"/>
      <c r="H1" s="29"/>
    </row>
    <row r="2" spans="1:8" x14ac:dyDescent="0.35">
      <c r="A2" s="29" t="s">
        <v>33</v>
      </c>
      <c r="B2" s="29"/>
      <c r="C2" s="29"/>
      <c r="D2" s="30" t="s">
        <v>32</v>
      </c>
      <c r="E2" s="29"/>
      <c r="F2" s="29"/>
      <c r="G2" s="29"/>
      <c r="H2" s="29"/>
    </row>
    <row r="3" spans="1:8" x14ac:dyDescent="0.35">
      <c r="A3" s="29" t="s">
        <v>31</v>
      </c>
      <c r="B3" s="29"/>
      <c r="C3" s="29"/>
      <c r="D3" s="30" t="s">
        <v>30</v>
      </c>
      <c r="E3" s="29"/>
      <c r="F3" s="29"/>
      <c r="G3" s="29"/>
      <c r="H3" s="29"/>
    </row>
    <row r="4" spans="1:8" x14ac:dyDescent="0.35">
      <c r="A4" s="29" t="s">
        <v>29</v>
      </c>
      <c r="B4" s="29"/>
      <c r="C4" s="29"/>
      <c r="D4" s="30" t="s">
        <v>28</v>
      </c>
      <c r="E4" s="29"/>
      <c r="F4" s="29"/>
      <c r="G4" s="29"/>
      <c r="H4" s="29"/>
    </row>
    <row r="5" spans="1:8" x14ac:dyDescent="0.35">
      <c r="A5" s="29"/>
      <c r="B5" s="29"/>
      <c r="C5" s="29"/>
      <c r="D5" s="29"/>
      <c r="E5" s="29"/>
      <c r="F5" s="29"/>
      <c r="G5" s="29"/>
      <c r="H5" s="29"/>
    </row>
    <row r="7" spans="1:8" x14ac:dyDescent="0.35">
      <c r="A7" s="21" t="s">
        <v>27</v>
      </c>
      <c r="C7" s="28" t="s">
        <v>26</v>
      </c>
      <c r="D7" s="27" t="s">
        <v>25</v>
      </c>
    </row>
    <row r="8" spans="1:8" x14ac:dyDescent="0.35">
      <c r="A8" s="6" t="s">
        <v>24</v>
      </c>
      <c r="B8" s="6" t="s">
        <v>23</v>
      </c>
      <c r="C8" s="26" t="s">
        <v>22</v>
      </c>
      <c r="D8" s="26" t="s">
        <v>22</v>
      </c>
      <c r="F8" s="26" t="s">
        <v>21</v>
      </c>
    </row>
    <row r="9" spans="1:8" x14ac:dyDescent="0.35">
      <c r="A9" s="3" t="s">
        <v>20</v>
      </c>
      <c r="B9" s="3">
        <v>689.25</v>
      </c>
      <c r="C9" s="25">
        <f>B9*B14</f>
        <v>52.727624999999996</v>
      </c>
      <c r="D9" s="25">
        <f>ROUND(B9*B14,2)</f>
        <v>52.73</v>
      </c>
      <c r="F9" s="24">
        <v>52.73</v>
      </c>
    </row>
    <row r="10" spans="1:8" x14ac:dyDescent="0.35">
      <c r="A10" s="3" t="s">
        <v>19</v>
      </c>
      <c r="B10" s="3">
        <v>765.71</v>
      </c>
      <c r="C10" s="25">
        <f>B10*B14</f>
        <v>58.576815000000003</v>
      </c>
      <c r="D10" s="25">
        <f>ROUND(B10*B14,2)</f>
        <v>58.58</v>
      </c>
      <c r="F10" s="24">
        <v>58.58</v>
      </c>
    </row>
    <row r="11" spans="1:8" ht="15" thickBot="1" x14ac:dyDescent="0.4">
      <c r="A11" s="3" t="s">
        <v>18</v>
      </c>
      <c r="B11" s="3">
        <v>687.43</v>
      </c>
      <c r="C11" s="25">
        <f>B11*B14</f>
        <v>52.588394999999998</v>
      </c>
      <c r="D11" s="25">
        <f>ROUND(B11*B14,2)</f>
        <v>52.59</v>
      </c>
      <c r="F11" s="24">
        <v>52.59</v>
      </c>
    </row>
    <row r="12" spans="1:8" ht="15" thickBot="1" x14ac:dyDescent="0.4">
      <c r="B12" s="21" t="s">
        <v>7</v>
      </c>
      <c r="C12" s="23">
        <f>SUM(C9:C11)</f>
        <v>163.89283499999999</v>
      </c>
      <c r="D12" s="23">
        <f>SUM(D9:D11)</f>
        <v>163.9</v>
      </c>
      <c r="F12" s="22">
        <f>SUM(F9:F11)</f>
        <v>163.9</v>
      </c>
    </row>
    <row r="13" spans="1:8" ht="15" thickTop="1" x14ac:dyDescent="0.35"/>
    <row r="14" spans="1:8" x14ac:dyDescent="0.35">
      <c r="A14" s="4" t="s">
        <v>0</v>
      </c>
      <c r="B14" s="3">
        <v>7.6499999999999999E-2</v>
      </c>
    </row>
    <row r="17" spans="1:8" x14ac:dyDescent="0.35">
      <c r="A17" s="21" t="s">
        <v>17</v>
      </c>
    </row>
    <row r="18" spans="1:8" x14ac:dyDescent="0.35">
      <c r="A18" s="20" t="s">
        <v>16</v>
      </c>
      <c r="B18" s="19">
        <v>1025</v>
      </c>
      <c r="C18" s="19"/>
      <c r="D18" s="18"/>
    </row>
    <row r="19" spans="1:8" x14ac:dyDescent="0.35">
      <c r="A19" s="9" t="s">
        <v>15</v>
      </c>
      <c r="B19" s="9" t="s">
        <v>14</v>
      </c>
      <c r="C19" s="9" t="s">
        <v>13</v>
      </c>
      <c r="D19" s="9" t="s">
        <v>7</v>
      </c>
      <c r="H19" s="9" t="s">
        <v>7</v>
      </c>
    </row>
    <row r="20" spans="1:8" x14ac:dyDescent="0.35">
      <c r="A20" s="3" t="s">
        <v>12</v>
      </c>
      <c r="B20" s="3">
        <v>5.1299999999999998E-2</v>
      </c>
      <c r="C20" s="3">
        <v>31</v>
      </c>
      <c r="D20" s="13">
        <f>ROUND(C20*B20,2)</f>
        <v>1.59</v>
      </c>
      <c r="H20" s="13">
        <f>C20*B20</f>
        <v>1.5903</v>
      </c>
    </row>
    <row r="21" spans="1:8" x14ac:dyDescent="0.35">
      <c r="A21" s="3" t="s">
        <v>11</v>
      </c>
      <c r="B21" s="3">
        <v>7.7499999999999999E-2</v>
      </c>
      <c r="C21" s="3">
        <v>21</v>
      </c>
      <c r="D21" s="13">
        <f>ROUND(C21*B21,2)</f>
        <v>1.63</v>
      </c>
      <c r="H21" s="13">
        <f>C21*B21</f>
        <v>1.6274999999999999</v>
      </c>
    </row>
    <row r="22" spans="1:8" x14ac:dyDescent="0.35">
      <c r="A22" s="3" t="s">
        <v>10</v>
      </c>
      <c r="B22" s="3">
        <v>1.0569999999999999</v>
      </c>
      <c r="C22" s="3">
        <v>11</v>
      </c>
      <c r="D22" s="13">
        <f>ROUND(C22*B22,2)</f>
        <v>11.63</v>
      </c>
      <c r="H22" s="13">
        <f>C22*B22</f>
        <v>11.626999999999999</v>
      </c>
    </row>
    <row r="23" spans="1:8" x14ac:dyDescent="0.35">
      <c r="A23" s="17"/>
      <c r="B23" s="16"/>
      <c r="C23" s="9" t="s">
        <v>9</v>
      </c>
      <c r="D23" s="8">
        <f>SUM(D20:D22)</f>
        <v>14.850000000000001</v>
      </c>
      <c r="F23" s="4" t="s">
        <v>0</v>
      </c>
      <c r="H23" s="8">
        <f>SUM(H20:H22)</f>
        <v>14.844799999999999</v>
      </c>
    </row>
    <row r="24" spans="1:8" x14ac:dyDescent="0.35">
      <c r="A24" s="15"/>
      <c r="B24" s="14"/>
      <c r="C24" s="9" t="s">
        <v>8</v>
      </c>
      <c r="D24" s="13">
        <f>ROUND(D23*F24,2)</f>
        <v>1.45</v>
      </c>
      <c r="F24" s="12">
        <v>9.7500000000000003E-2</v>
      </c>
    </row>
    <row r="25" spans="1:8" x14ac:dyDescent="0.35">
      <c r="A25" s="11"/>
      <c r="B25" s="10"/>
      <c r="C25" s="9" t="s">
        <v>7</v>
      </c>
      <c r="D25" s="8">
        <f>SUM(D23:D24)</f>
        <v>16.3</v>
      </c>
    </row>
    <row r="26" spans="1:8" x14ac:dyDescent="0.35">
      <c r="A26" s="7" t="s">
        <v>6</v>
      </c>
      <c r="B26" s="7"/>
      <c r="C26" s="7"/>
      <c r="D26" s="7"/>
    </row>
    <row r="28" spans="1:8" x14ac:dyDescent="0.35">
      <c r="A28" t="s">
        <v>5</v>
      </c>
    </row>
    <row r="29" spans="1:8" x14ac:dyDescent="0.35">
      <c r="A29" t="s">
        <v>4</v>
      </c>
    </row>
    <row r="31" spans="1:8" x14ac:dyDescent="0.35">
      <c r="A31" t="s">
        <v>3</v>
      </c>
    </row>
    <row r="32" spans="1:8" ht="29" x14ac:dyDescent="0.35">
      <c r="A32" s="6" t="s">
        <v>2</v>
      </c>
      <c r="B32" s="5" t="s">
        <v>1</v>
      </c>
      <c r="D32" s="4" t="s">
        <v>0</v>
      </c>
    </row>
    <row r="33" spans="1:4" x14ac:dyDescent="0.35">
      <c r="A33" s="2">
        <v>2345.98</v>
      </c>
      <c r="B33" s="1">
        <f>ROUND(A33*$D$33,2)</f>
        <v>363.63</v>
      </c>
      <c r="D33" s="3">
        <v>0.155</v>
      </c>
    </row>
    <row r="34" spans="1:4" x14ac:dyDescent="0.35">
      <c r="A34" s="2">
        <v>345.49</v>
      </c>
      <c r="B34" s="1">
        <f>ROUND(A34*$D$33,2)</f>
        <v>53.55</v>
      </c>
    </row>
    <row r="35" spans="1:4" x14ac:dyDescent="0.35">
      <c r="A35" s="2">
        <v>235.8</v>
      </c>
      <c r="B35" s="1">
        <f>ROUND(A35*$D$33,2)</f>
        <v>36.549999999999997</v>
      </c>
    </row>
    <row r="36" spans="1:4" x14ac:dyDescent="0.35">
      <c r="A36" s="2">
        <v>2541.12</v>
      </c>
      <c r="B36" s="1">
        <f>ROUND(A36*$D$33,2)</f>
        <v>393.87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479F-DBB7-4798-889D-EF80C92CD9D3}">
  <sheetPr>
    <tabColor rgb="FF0000FF"/>
  </sheetPr>
  <dimension ref="A1:H17"/>
  <sheetViews>
    <sheetView tabSelected="1" zoomScale="190" zoomScaleNormal="190" workbookViewId="0">
      <selection activeCell="C4" sqref="C4"/>
    </sheetView>
  </sheetViews>
  <sheetFormatPr defaultRowHeight="14.5" x14ac:dyDescent="0.35"/>
  <cols>
    <col min="1" max="1" width="12.1796875" customWidth="1"/>
    <col min="2" max="2" width="10.81640625" customWidth="1"/>
    <col min="3" max="3" width="13.7265625" bestFit="1" customWidth="1"/>
  </cols>
  <sheetData>
    <row r="1" spans="1:8" x14ac:dyDescent="0.35">
      <c r="A1" s="38" t="s">
        <v>47</v>
      </c>
      <c r="B1" s="37"/>
      <c r="C1" s="37"/>
      <c r="D1" s="37"/>
      <c r="E1" s="37"/>
      <c r="F1" s="37"/>
      <c r="G1" s="37"/>
      <c r="H1" s="36"/>
    </row>
    <row r="3" spans="1:8" x14ac:dyDescent="0.35">
      <c r="A3" s="6" t="s">
        <v>24</v>
      </c>
      <c r="B3" s="6" t="s">
        <v>23</v>
      </c>
      <c r="C3" s="6" t="s">
        <v>22</v>
      </c>
      <c r="E3" s="4" t="s">
        <v>0</v>
      </c>
    </row>
    <row r="4" spans="1:8" x14ac:dyDescent="0.35">
      <c r="A4" s="3" t="s">
        <v>37</v>
      </c>
      <c r="B4" s="3">
        <v>5262.26</v>
      </c>
      <c r="C4" s="34">
        <f>ROUND(B4*$E$4,2)</f>
        <v>77.62</v>
      </c>
      <c r="E4" s="35">
        <v>1.4749999999999999E-2</v>
      </c>
    </row>
    <row r="5" spans="1:8" x14ac:dyDescent="0.35">
      <c r="A5" s="3" t="s">
        <v>43</v>
      </c>
      <c r="B5" s="3">
        <v>5531.85</v>
      </c>
      <c r="C5" s="34">
        <f>ROUND(B5*$E$4,2)</f>
        <v>81.59</v>
      </c>
    </row>
    <row r="6" spans="1:8" x14ac:dyDescent="0.35">
      <c r="A6" s="3" t="s">
        <v>46</v>
      </c>
      <c r="B6" s="3">
        <v>5867.76</v>
      </c>
      <c r="C6" s="34">
        <f>ROUND(B6*$E$4,2)</f>
        <v>86.55</v>
      </c>
    </row>
    <row r="7" spans="1:8" x14ac:dyDescent="0.35">
      <c r="A7" s="3" t="s">
        <v>45</v>
      </c>
      <c r="B7" s="3">
        <v>4976.26</v>
      </c>
      <c r="C7" s="34">
        <f>ROUND(B7*$E$4,2)</f>
        <v>73.400000000000006</v>
      </c>
    </row>
    <row r="8" spans="1:8" x14ac:dyDescent="0.35">
      <c r="A8" s="3" t="s">
        <v>44</v>
      </c>
      <c r="B8" s="3">
        <v>5938.27</v>
      </c>
      <c r="C8" s="34">
        <f>ROUND(B8*$E$4,2)</f>
        <v>87.59</v>
      </c>
    </row>
    <row r="9" spans="1:8" x14ac:dyDescent="0.35">
      <c r="A9" s="3" t="s">
        <v>43</v>
      </c>
      <c r="B9" s="3">
        <v>4290.34</v>
      </c>
      <c r="C9" s="34">
        <f>ROUND(B9*$E$4,2)</f>
        <v>63.28</v>
      </c>
    </row>
    <row r="10" spans="1:8" x14ac:dyDescent="0.35">
      <c r="A10" s="3" t="s">
        <v>42</v>
      </c>
      <c r="B10" s="3">
        <v>5000.3999999999996</v>
      </c>
      <c r="C10" s="34">
        <f>ROUND(B10*$E$4,2)</f>
        <v>73.760000000000005</v>
      </c>
    </row>
    <row r="11" spans="1:8" x14ac:dyDescent="0.35">
      <c r="A11" s="3" t="s">
        <v>41</v>
      </c>
      <c r="B11" s="3">
        <v>4780.87</v>
      </c>
      <c r="C11" s="34">
        <f>ROUND(B11*$E$4,2)</f>
        <v>70.52</v>
      </c>
    </row>
    <row r="12" spans="1:8" x14ac:dyDescent="0.35">
      <c r="A12" s="3" t="s">
        <v>40</v>
      </c>
      <c r="B12" s="3">
        <v>4536.95</v>
      </c>
      <c r="C12" s="34">
        <f>ROUND(B12*$E$4,2)</f>
        <v>66.92</v>
      </c>
    </row>
    <row r="13" spans="1:8" x14ac:dyDescent="0.35">
      <c r="A13" s="3" t="s">
        <v>39</v>
      </c>
      <c r="B13" s="3">
        <v>4070.94</v>
      </c>
      <c r="C13" s="34">
        <f>ROUND(B13*$E$4,2)</f>
        <v>60.05</v>
      </c>
    </row>
    <row r="14" spans="1:8" x14ac:dyDescent="0.35">
      <c r="A14" s="3" t="s">
        <v>38</v>
      </c>
      <c r="B14" s="3">
        <v>5018.7299999999996</v>
      </c>
      <c r="C14" s="34">
        <f>ROUND(B14*$E$4,2)</f>
        <v>74.03</v>
      </c>
    </row>
    <row r="15" spans="1:8" x14ac:dyDescent="0.35">
      <c r="A15" s="3" t="s">
        <v>37</v>
      </c>
      <c r="B15" s="3">
        <v>4322.54</v>
      </c>
      <c r="C15" s="34">
        <f>ROUND(B15*$E$4,2)</f>
        <v>63.76</v>
      </c>
    </row>
    <row r="16" spans="1:8" x14ac:dyDescent="0.35">
      <c r="A16" s="3" t="s">
        <v>36</v>
      </c>
      <c r="B16" s="3">
        <v>4969.74</v>
      </c>
      <c r="C16" s="34">
        <f>ROUND(B16*$E$4,2)</f>
        <v>73.3</v>
      </c>
    </row>
    <row r="17" spans="1:3" x14ac:dyDescent="0.35">
      <c r="A17" s="3"/>
      <c r="B17" s="3" t="s">
        <v>7</v>
      </c>
      <c r="C17" s="33">
        <f>SUM(C4:C16)</f>
        <v>952.36999999999978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ROUND(2)</vt:lpstr>
      <vt:lpstr>HW(1)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Zulfiquar</dc:creator>
  <cp:lastModifiedBy>Aleeza Zulfiquar</cp:lastModifiedBy>
  <dcterms:created xsi:type="dcterms:W3CDTF">2025-05-03T04:18:41Z</dcterms:created>
  <dcterms:modified xsi:type="dcterms:W3CDTF">2025-05-03T04:22:55Z</dcterms:modified>
</cp:coreProperties>
</file>